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E58CE254-383B-4616-A81F-7769C225834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urv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2" l="1"/>
  <c r="R24" i="2"/>
  <c r="O23" i="2"/>
  <c r="O24" i="2"/>
  <c r="L23" i="2"/>
  <c r="L24" i="2"/>
  <c r="I23" i="2"/>
  <c r="I24" i="2"/>
  <c r="F23" i="2"/>
  <c r="F24" i="2"/>
  <c r="C24" i="2"/>
  <c r="C23" i="2"/>
  <c r="D24" i="2"/>
  <c r="E24" i="2"/>
  <c r="G24" i="2"/>
  <c r="H24" i="2"/>
  <c r="J24" i="2"/>
  <c r="K24" i="2"/>
  <c r="M24" i="2"/>
  <c r="N24" i="2"/>
  <c r="P24" i="2"/>
  <c r="Q24" i="2"/>
  <c r="S24" i="2"/>
  <c r="T24" i="2"/>
  <c r="B24" i="2"/>
  <c r="D23" i="2"/>
  <c r="E23" i="2"/>
  <c r="G23" i="2"/>
  <c r="H23" i="2"/>
  <c r="J23" i="2"/>
  <c r="K23" i="2"/>
  <c r="M23" i="2"/>
  <c r="N23" i="2"/>
  <c r="P23" i="2"/>
  <c r="Q23" i="2"/>
  <c r="S23" i="2"/>
  <c r="T23" i="2"/>
  <c r="B23" i="2"/>
</calcChain>
</file>

<file path=xl/sharedStrings.xml><?xml version="1.0" encoding="utf-8"?>
<sst xmlns="http://schemas.openxmlformats.org/spreadsheetml/2006/main" count="42" uniqueCount="41">
  <si>
    <t>Participant ID</t>
  </si>
  <si>
    <t>T0</t>
  </si>
  <si>
    <t>T0.33</t>
  </si>
  <si>
    <t>T0.66</t>
  </si>
  <si>
    <t>T1</t>
  </si>
  <si>
    <t>T1.33</t>
  </si>
  <si>
    <t>T1.66</t>
  </si>
  <si>
    <t>T2</t>
  </si>
  <si>
    <t>T2.33</t>
  </si>
  <si>
    <t>T2.66</t>
  </si>
  <si>
    <t>T3</t>
  </si>
  <si>
    <t>T3.33</t>
  </si>
  <si>
    <t>T3.66</t>
  </si>
  <si>
    <t>T4</t>
  </si>
  <si>
    <t>T4.33</t>
  </si>
  <si>
    <t>T4.66</t>
  </si>
  <si>
    <t>T5</t>
  </si>
  <si>
    <t>T5.33</t>
  </si>
  <si>
    <t>T5.66</t>
  </si>
  <si>
    <t>T6</t>
  </si>
  <si>
    <t>comments</t>
  </si>
  <si>
    <t>curvy country road; traffic and less information</t>
  </si>
  <si>
    <t>skeptical; new perspective; interesting facts; less facts, traffic increases</t>
  </si>
  <si>
    <t>informative; friendly and entertaining; very humorous; polite</t>
  </si>
  <si>
    <t>known route therefore “boring”</t>
  </si>
  <si>
    <t>Positive when there is information; neutral when there is no information -&gt; then boring</t>
  </si>
  <si>
    <t>City traffic; Intersections; Video and audio synchronization off; Open country road</t>
  </si>
  <si>
    <t>Confused, didn't see the tower—why should I answer?; who is Hildrid?; airport fact</t>
  </si>
  <si>
    <t>acclimatization</t>
  </si>
  <si>
    <t>skepticism -&gt; trust</t>
  </si>
  <si>
    <t>Unfortunately, it's already over :(</t>
  </si>
  <si>
    <t>Positive because of the information I received :)</t>
  </si>
  <si>
    <t>It was really interesting at first because it was something new; and then came the “getting used to it” part</t>
  </si>
  <si>
    <t>Good news; navigation issues</t>
  </si>
  <si>
    <t>I didn't know what I could do or what the system was capable of; Companion reached out proactively -&gt; I understood what it could do; operation / just ask—it's very simple; I got used to it quickly and then it wasn't really a big deal anymore</t>
  </si>
  <si>
    <t>Infos</t>
  </si>
  <si>
    <t>30 km/h in villages; normal driving; country roads are quite nice</t>
  </si>
  <si>
    <t>really cool storytelling; distraction</t>
  </si>
  <si>
    <t>Infos &amp; Route</t>
  </si>
  <si>
    <t>Median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</si>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</sst>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UX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Curve!$A$2</c:f>
              <c:strCache>
                <c:ptCount val="1"/>
                <c:pt idx="0">
                  <c:v>1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Curve!$B$2:$T$2</c:f>
              <c:numCache>
                <c:formatCode>General</c:formatCode>
                <c:ptCount val="19"/>
                <c:pt idx="0">
                  <c:v>-0.3</c:v>
                </c:pt>
                <c:pt idx="1">
                  <c:v>-0.3</c:v>
                </c:pt>
                <c:pt idx="2">
                  <c:v>0</c:v>
                </c:pt>
                <c:pt idx="3">
                  <c:v>0.35</c:v>
                </c:pt>
                <c:pt idx="4">
                  <c:v>0.5</c:v>
                </c:pt>
                <c:pt idx="5">
                  <c:v>0.65</c:v>
                </c:pt>
                <c:pt idx="6">
                  <c:v>0.75</c:v>
                </c:pt>
                <c:pt idx="7">
                  <c:v>0.9</c:v>
                </c:pt>
                <c:pt idx="8">
                  <c:v>1.3</c:v>
                </c:pt>
                <c:pt idx="9">
                  <c:v>1.5</c:v>
                </c:pt>
                <c:pt idx="10">
                  <c:v>1.6</c:v>
                </c:pt>
                <c:pt idx="11">
                  <c:v>1.6</c:v>
                </c:pt>
                <c:pt idx="12">
                  <c:v>1.3</c:v>
                </c:pt>
                <c:pt idx="13">
                  <c:v>1</c:v>
                </c:pt>
                <c:pt idx="14">
                  <c:v>0.8</c:v>
                </c:pt>
                <c:pt idx="15">
                  <c:v>0.65</c:v>
                </c:pt>
                <c:pt idx="16">
                  <c:v>0.2</c:v>
                </c:pt>
                <c:pt idx="17">
                  <c:v>0.1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8-9A71-437B-9D40-67EFE8E854C0}"/>
            </c:ext>
          </c:extLst>
        </c:ser>
        <c:ser>
          <c:idx val="1"/>
          <c:order val="1"/>
          <c:tx>
            <c:strRef>
              <c:f>Curve!$A$3</c:f>
              <c:strCache>
                <c:ptCount val="1"/>
                <c:pt idx="0">
                  <c:v>2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Curve!$B$3:$T$3</c:f>
              <c:numCache>
                <c:formatCode>General</c:formatCode>
                <c:ptCount val="19"/>
                <c:pt idx="0">
                  <c:v>-0.6</c:v>
                </c:pt>
                <c:pt idx="1">
                  <c:v>-0.5</c:v>
                </c:pt>
                <c:pt idx="2">
                  <c:v>-0.3</c:v>
                </c:pt>
                <c:pt idx="3">
                  <c:v>0.2</c:v>
                </c:pt>
                <c:pt idx="4">
                  <c:v>0.45</c:v>
                </c:pt>
                <c:pt idx="5">
                  <c:v>0.65</c:v>
                </c:pt>
                <c:pt idx="6">
                  <c:v>0.85</c:v>
                </c:pt>
                <c:pt idx="7">
                  <c:v>1</c:v>
                </c:pt>
                <c:pt idx="8">
                  <c:v>1.3</c:v>
                </c:pt>
                <c:pt idx="9">
                  <c:v>1.6</c:v>
                </c:pt>
                <c:pt idx="10">
                  <c:v>1.7</c:v>
                </c:pt>
                <c:pt idx="11">
                  <c:v>1.5</c:v>
                </c:pt>
                <c:pt idx="12">
                  <c:v>1.35</c:v>
                </c:pt>
                <c:pt idx="13">
                  <c:v>0.95</c:v>
                </c:pt>
                <c:pt idx="14">
                  <c:v>0.95</c:v>
                </c:pt>
                <c:pt idx="15">
                  <c:v>0.6</c:v>
                </c:pt>
                <c:pt idx="16">
                  <c:v>0.5</c:v>
                </c:pt>
                <c:pt idx="17">
                  <c:v>0.4</c:v>
                </c:pt>
                <c:pt idx="18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A-9A71-437B-9D40-67EFE8E854C0}"/>
            </c:ext>
          </c:extLst>
        </c:ser>
        <c:ser>
          <c:idx val="2"/>
          <c:order val="2"/>
          <c:tx>
            <c:strRef>
              <c:f>Curve!$A$4</c:f>
              <c:strCache>
                <c:ptCount val="1"/>
                <c:pt idx="0">
                  <c:v>3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Curve!$B$4:$T$4</c:f>
              <c:numCache>
                <c:formatCode>General</c:formatCode>
                <c:ptCount val="19"/>
                <c:pt idx="0">
                  <c:v>2.4</c:v>
                </c:pt>
                <c:pt idx="1">
                  <c:v>2.4</c:v>
                </c:pt>
                <c:pt idx="2">
                  <c:v>2.2000000000000002</c:v>
                </c:pt>
                <c:pt idx="3">
                  <c:v>1.9</c:v>
                </c:pt>
                <c:pt idx="4">
                  <c:v>1.75</c:v>
                </c:pt>
                <c:pt idx="5">
                  <c:v>1.75</c:v>
                </c:pt>
                <c:pt idx="6">
                  <c:v>2</c:v>
                </c:pt>
                <c:pt idx="7">
                  <c:v>2.35</c:v>
                </c:pt>
                <c:pt idx="8">
                  <c:v>2.7</c:v>
                </c:pt>
                <c:pt idx="9">
                  <c:v>3.3</c:v>
                </c:pt>
                <c:pt idx="10">
                  <c:v>3.4</c:v>
                </c:pt>
                <c:pt idx="11">
                  <c:v>3.2</c:v>
                </c:pt>
                <c:pt idx="12">
                  <c:v>3.1</c:v>
                </c:pt>
                <c:pt idx="13">
                  <c:v>2.8</c:v>
                </c:pt>
                <c:pt idx="14">
                  <c:v>2.6</c:v>
                </c:pt>
                <c:pt idx="15">
                  <c:v>2.5</c:v>
                </c:pt>
                <c:pt idx="16">
                  <c:v>2.6</c:v>
                </c:pt>
                <c:pt idx="17">
                  <c:v>2.8</c:v>
                </c:pt>
                <c:pt idx="18">
                  <c:v>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C-9A71-437B-9D40-67EFE8E854C0}"/>
            </c:ext>
          </c:extLst>
        </c:ser>
        <c:ser>
          <c:idx val="3"/>
          <c:order val="3"/>
          <c:tx>
            <c:strRef>
              <c:f>Curve!$A$5</c:f>
              <c:strCache>
                <c:ptCount val="1"/>
                <c:pt idx="0">
                  <c:v>4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Curve!$B$5:$T$5</c:f>
              <c:numCache>
                <c:formatCode>General</c:formatCode>
                <c:ptCount val="19"/>
                <c:pt idx="0">
                  <c:v>3</c:v>
                </c:pt>
                <c:pt idx="1">
                  <c:v>3</c:v>
                </c:pt>
                <c:pt idx="2">
                  <c:v>3.1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2.9</c:v>
                </c:pt>
                <c:pt idx="9">
                  <c:v>2.9</c:v>
                </c:pt>
                <c:pt idx="10">
                  <c:v>2.8</c:v>
                </c:pt>
                <c:pt idx="11">
                  <c:v>2.7</c:v>
                </c:pt>
                <c:pt idx="12">
                  <c:v>2.4500000000000002</c:v>
                </c:pt>
                <c:pt idx="13">
                  <c:v>2.2999999999999998</c:v>
                </c:pt>
                <c:pt idx="14">
                  <c:v>2</c:v>
                </c:pt>
                <c:pt idx="15">
                  <c:v>1.4</c:v>
                </c:pt>
                <c:pt idx="16">
                  <c:v>1.1000000000000001</c:v>
                </c:pt>
                <c:pt idx="17">
                  <c:v>0.8</c:v>
                </c:pt>
                <c:pt idx="18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E-9A71-437B-9D40-67EFE8E854C0}"/>
            </c:ext>
          </c:extLst>
        </c:ser>
        <c:ser>
          <c:idx val="4"/>
          <c:order val="4"/>
          <c:tx>
            <c:strRef>
              <c:f>Curve!$A$6</c:f>
              <c:strCache>
                <c:ptCount val="1"/>
                <c:pt idx="0">
                  <c:v>5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Curve!$B$6:$T$6</c:f>
              <c:numCache>
                <c:formatCode>General</c:formatCode>
                <c:ptCount val="19"/>
                <c:pt idx="0">
                  <c:v>0</c:v>
                </c:pt>
                <c:pt idx="1">
                  <c:v>0.25</c:v>
                </c:pt>
                <c:pt idx="2">
                  <c:v>1.1000000000000001</c:v>
                </c:pt>
                <c:pt idx="3">
                  <c:v>1.9</c:v>
                </c:pt>
                <c:pt idx="4">
                  <c:v>1</c:v>
                </c:pt>
                <c:pt idx="5">
                  <c:v>0</c:v>
                </c:pt>
                <c:pt idx="6">
                  <c:v>1.1000000000000001</c:v>
                </c:pt>
                <c:pt idx="7">
                  <c:v>1.8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1.75</c:v>
                </c:pt>
                <c:pt idx="12">
                  <c:v>1.5</c:v>
                </c:pt>
                <c:pt idx="13">
                  <c:v>0.6</c:v>
                </c:pt>
                <c:pt idx="14">
                  <c:v>0.2</c:v>
                </c:pt>
                <c:pt idx="15">
                  <c:v>1.75</c:v>
                </c:pt>
                <c:pt idx="16">
                  <c:v>1.6</c:v>
                </c:pt>
                <c:pt idx="17">
                  <c:v>0.4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0-9A71-437B-9D40-67EFE8E854C0}"/>
            </c:ext>
          </c:extLst>
        </c:ser>
        <c:ser>
          <c:idx val="5"/>
          <c:order val="5"/>
          <c:tx>
            <c:strRef>
              <c:f>Curve!$A$7</c:f>
              <c:strCache>
                <c:ptCount val="1"/>
                <c:pt idx="0">
                  <c:v>6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Curve!$B$7:$T$7</c:f>
              <c:numCache>
                <c:formatCode>General</c:formatCode>
                <c:ptCount val="19"/>
                <c:pt idx="0">
                  <c:v>0</c:v>
                </c:pt>
                <c:pt idx="1">
                  <c:v>-0.6</c:v>
                </c:pt>
                <c:pt idx="2">
                  <c:v>-0.7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0</c:v>
                </c:pt>
                <c:pt idx="7">
                  <c:v>0.3</c:v>
                </c:pt>
                <c:pt idx="8">
                  <c:v>0.6</c:v>
                </c:pt>
                <c:pt idx="9">
                  <c:v>0.8</c:v>
                </c:pt>
                <c:pt idx="10">
                  <c:v>0.95</c:v>
                </c:pt>
                <c:pt idx="11">
                  <c:v>1.1000000000000001</c:v>
                </c:pt>
                <c:pt idx="12">
                  <c:v>1.1000000000000001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1.1000000000000001</c:v>
                </c:pt>
                <c:pt idx="16">
                  <c:v>1.1000000000000001</c:v>
                </c:pt>
                <c:pt idx="17">
                  <c:v>1.1000000000000001</c:v>
                </c:pt>
                <c:pt idx="18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2-9A71-437B-9D40-67EFE8E854C0}"/>
            </c:ext>
          </c:extLst>
        </c:ser>
        <c:ser>
          <c:idx val="6"/>
          <c:order val="6"/>
          <c:tx>
            <c:strRef>
              <c:f>Curve!$A$8</c:f>
              <c:strCache>
                <c:ptCount val="1"/>
                <c:pt idx="0">
                  <c:v>7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Curve!$B$8:$T$8</c:f>
              <c:numCache>
                <c:formatCode>General</c:formatCode>
                <c:ptCount val="19"/>
                <c:pt idx="0">
                  <c:v>0</c:v>
                </c:pt>
                <c:pt idx="1">
                  <c:v>-1.8</c:v>
                </c:pt>
                <c:pt idx="2">
                  <c:v>-2.5</c:v>
                </c:pt>
                <c:pt idx="3">
                  <c:v>0</c:v>
                </c:pt>
                <c:pt idx="4">
                  <c:v>-0.75</c:v>
                </c:pt>
                <c:pt idx="5">
                  <c:v>-0.5</c:v>
                </c:pt>
                <c:pt idx="6">
                  <c:v>0</c:v>
                </c:pt>
                <c:pt idx="7">
                  <c:v>0</c:v>
                </c:pt>
                <c:pt idx="8">
                  <c:v>0.7</c:v>
                </c:pt>
                <c:pt idx="9">
                  <c:v>1</c:v>
                </c:pt>
                <c:pt idx="10">
                  <c:v>0.8</c:v>
                </c:pt>
                <c:pt idx="11">
                  <c:v>0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4-9A71-437B-9D40-67EFE8E854C0}"/>
            </c:ext>
          </c:extLst>
        </c:ser>
        <c:ser>
          <c:idx val="7"/>
          <c:order val="7"/>
          <c:tx>
            <c:strRef>
              <c:f>Curve!$A$9</c:f>
              <c:strCache>
                <c:ptCount val="1"/>
                <c:pt idx="0">
                  <c:v>8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Curve!$B$9:$T$9</c:f>
              <c:numCache>
                <c:formatCode>General</c:formatCode>
                <c:ptCount val="19"/>
                <c:pt idx="0">
                  <c:v>0</c:v>
                </c:pt>
                <c:pt idx="1">
                  <c:v>0.5</c:v>
                </c:pt>
                <c:pt idx="2">
                  <c:v>0.85</c:v>
                </c:pt>
                <c:pt idx="3">
                  <c:v>1.3</c:v>
                </c:pt>
                <c:pt idx="4">
                  <c:v>1.75</c:v>
                </c:pt>
                <c:pt idx="5">
                  <c:v>1.9</c:v>
                </c:pt>
                <c:pt idx="6">
                  <c:v>2.2999999999999998</c:v>
                </c:pt>
                <c:pt idx="7">
                  <c:v>2.35</c:v>
                </c:pt>
                <c:pt idx="8">
                  <c:v>2.4</c:v>
                </c:pt>
                <c:pt idx="9">
                  <c:v>2.4500000000000002</c:v>
                </c:pt>
                <c:pt idx="10">
                  <c:v>2.5</c:v>
                </c:pt>
                <c:pt idx="11">
                  <c:v>2.5</c:v>
                </c:pt>
                <c:pt idx="12">
                  <c:v>2.6</c:v>
                </c:pt>
                <c:pt idx="13">
                  <c:v>2.6</c:v>
                </c:pt>
                <c:pt idx="14">
                  <c:v>2.6</c:v>
                </c:pt>
                <c:pt idx="15">
                  <c:v>2.6</c:v>
                </c:pt>
                <c:pt idx="16">
                  <c:v>2.6</c:v>
                </c:pt>
                <c:pt idx="17">
                  <c:v>2.5</c:v>
                </c:pt>
                <c:pt idx="18">
                  <c:v>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6-9A71-437B-9D40-67EFE8E854C0}"/>
            </c:ext>
          </c:extLst>
        </c:ser>
        <c:ser>
          <c:idx val="8"/>
          <c:order val="8"/>
          <c:tx>
            <c:strRef>
              <c:f>Curve!$A$10</c:f>
              <c:strCache>
                <c:ptCount val="1"/>
                <c:pt idx="0">
                  <c:v>9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Curve!$B$10:$T$10</c:f>
              <c:numCache>
                <c:formatCode>General</c:formatCode>
                <c:ptCount val="19"/>
                <c:pt idx="0">
                  <c:v>-0.75</c:v>
                </c:pt>
                <c:pt idx="1">
                  <c:v>-0.7</c:v>
                </c:pt>
                <c:pt idx="2">
                  <c:v>-0.65</c:v>
                </c:pt>
                <c:pt idx="3">
                  <c:v>-0.4</c:v>
                </c:pt>
                <c:pt idx="4">
                  <c:v>0</c:v>
                </c:pt>
                <c:pt idx="5">
                  <c:v>0.3</c:v>
                </c:pt>
                <c:pt idx="6">
                  <c:v>0.8</c:v>
                </c:pt>
                <c:pt idx="7">
                  <c:v>1.2</c:v>
                </c:pt>
                <c:pt idx="8">
                  <c:v>1.45</c:v>
                </c:pt>
                <c:pt idx="9">
                  <c:v>2.1</c:v>
                </c:pt>
                <c:pt idx="10">
                  <c:v>2.4</c:v>
                </c:pt>
                <c:pt idx="11">
                  <c:v>2.5</c:v>
                </c:pt>
                <c:pt idx="12">
                  <c:v>2.8</c:v>
                </c:pt>
                <c:pt idx="13">
                  <c:v>2.85</c:v>
                </c:pt>
                <c:pt idx="14">
                  <c:v>2.9</c:v>
                </c:pt>
                <c:pt idx="15">
                  <c:v>2.9</c:v>
                </c:pt>
                <c:pt idx="16">
                  <c:v>2.9</c:v>
                </c:pt>
                <c:pt idx="17">
                  <c:v>2.9</c:v>
                </c:pt>
                <c:pt idx="18">
                  <c:v>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8-9A71-437B-9D40-67EFE8E854C0}"/>
            </c:ext>
          </c:extLst>
        </c:ser>
        <c:ser>
          <c:idx val="9"/>
          <c:order val="9"/>
          <c:tx>
            <c:strRef>
              <c:f>Curve!$A$11</c:f>
              <c:strCache>
                <c:ptCount val="1"/>
                <c:pt idx="0">
                  <c:v>10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Curve!$B$11:$T$11</c:f>
              <c:numCache>
                <c:formatCode>General</c:formatCode>
                <c:ptCount val="19"/>
                <c:pt idx="0">
                  <c:v>0</c:v>
                </c:pt>
                <c:pt idx="1">
                  <c:v>0.75</c:v>
                </c:pt>
                <c:pt idx="2">
                  <c:v>1.35</c:v>
                </c:pt>
                <c:pt idx="3">
                  <c:v>2.2000000000000002</c:v>
                </c:pt>
                <c:pt idx="4">
                  <c:v>2.5</c:v>
                </c:pt>
                <c:pt idx="5">
                  <c:v>2.65</c:v>
                </c:pt>
                <c:pt idx="6">
                  <c:v>2.7</c:v>
                </c:pt>
                <c:pt idx="7">
                  <c:v>2.7</c:v>
                </c:pt>
                <c:pt idx="8">
                  <c:v>2.7</c:v>
                </c:pt>
                <c:pt idx="9">
                  <c:v>2.7</c:v>
                </c:pt>
                <c:pt idx="10">
                  <c:v>2.75</c:v>
                </c:pt>
                <c:pt idx="11">
                  <c:v>2.8</c:v>
                </c:pt>
                <c:pt idx="12">
                  <c:v>2.8</c:v>
                </c:pt>
                <c:pt idx="13">
                  <c:v>2.8</c:v>
                </c:pt>
                <c:pt idx="14">
                  <c:v>2.8</c:v>
                </c:pt>
                <c:pt idx="15">
                  <c:v>2.7</c:v>
                </c:pt>
                <c:pt idx="16">
                  <c:v>2.7</c:v>
                </c:pt>
                <c:pt idx="17">
                  <c:v>2.7</c:v>
                </c:pt>
                <c:pt idx="18">
                  <c:v>-3.1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A-9A71-437B-9D40-67EFE8E854C0}"/>
            </c:ext>
          </c:extLst>
        </c:ser>
        <c:ser>
          <c:idx val="10"/>
          <c:order val="10"/>
          <c:tx>
            <c:strRef>
              <c:f>Curve!$A$12</c:f>
              <c:strCache>
                <c:ptCount val="1"/>
                <c:pt idx="0">
                  <c:v>11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Curve!$B$12:$T$12</c:f>
              <c:numCache>
                <c:formatCode>General</c:formatCode>
                <c:ptCount val="19"/>
                <c:pt idx="0">
                  <c:v>1.3</c:v>
                </c:pt>
                <c:pt idx="1">
                  <c:v>1.2</c:v>
                </c:pt>
                <c:pt idx="2">
                  <c:v>1.3</c:v>
                </c:pt>
                <c:pt idx="3">
                  <c:v>2</c:v>
                </c:pt>
                <c:pt idx="4">
                  <c:v>3</c:v>
                </c:pt>
                <c:pt idx="5">
                  <c:v>1.45</c:v>
                </c:pt>
                <c:pt idx="6">
                  <c:v>1.3</c:v>
                </c:pt>
                <c:pt idx="7">
                  <c:v>1.7</c:v>
                </c:pt>
                <c:pt idx="8">
                  <c:v>2.6</c:v>
                </c:pt>
                <c:pt idx="9">
                  <c:v>1.3</c:v>
                </c:pt>
                <c:pt idx="10">
                  <c:v>1.3</c:v>
                </c:pt>
                <c:pt idx="11">
                  <c:v>1.3</c:v>
                </c:pt>
                <c:pt idx="12">
                  <c:v>1.4</c:v>
                </c:pt>
                <c:pt idx="13">
                  <c:v>1.4</c:v>
                </c:pt>
                <c:pt idx="14">
                  <c:v>2.6</c:v>
                </c:pt>
                <c:pt idx="15">
                  <c:v>1.25</c:v>
                </c:pt>
                <c:pt idx="16">
                  <c:v>1.3</c:v>
                </c:pt>
                <c:pt idx="17">
                  <c:v>1.3</c:v>
                </c:pt>
                <c:pt idx="18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C-9A71-437B-9D40-67EFE8E854C0}"/>
            </c:ext>
          </c:extLst>
        </c:ser>
        <c:ser>
          <c:idx val="11"/>
          <c:order val="11"/>
          <c:tx>
            <c:strRef>
              <c:f>Curve!$A$13</c:f>
              <c:strCache>
                <c:ptCount val="1"/>
                <c:pt idx="0">
                  <c:v>12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Curve!$B$13:$T$13</c:f>
              <c:numCache>
                <c:formatCode>General</c:formatCode>
                <c:ptCount val="19"/>
                <c:pt idx="0">
                  <c:v>0</c:v>
                </c:pt>
                <c:pt idx="1">
                  <c:v>0.4</c:v>
                </c:pt>
                <c:pt idx="2">
                  <c:v>1</c:v>
                </c:pt>
                <c:pt idx="3">
                  <c:v>1.6</c:v>
                </c:pt>
                <c:pt idx="4">
                  <c:v>2.2000000000000002</c:v>
                </c:pt>
                <c:pt idx="5">
                  <c:v>2.8</c:v>
                </c:pt>
                <c:pt idx="6">
                  <c:v>2.8</c:v>
                </c:pt>
                <c:pt idx="7">
                  <c:v>2.6</c:v>
                </c:pt>
                <c:pt idx="8">
                  <c:v>2.6</c:v>
                </c:pt>
                <c:pt idx="9">
                  <c:v>2.35</c:v>
                </c:pt>
                <c:pt idx="10">
                  <c:v>2.2000000000000002</c:v>
                </c:pt>
                <c:pt idx="11">
                  <c:v>2.1</c:v>
                </c:pt>
                <c:pt idx="12">
                  <c:v>1.95</c:v>
                </c:pt>
                <c:pt idx="13">
                  <c:v>1.8</c:v>
                </c:pt>
                <c:pt idx="14">
                  <c:v>1.5</c:v>
                </c:pt>
                <c:pt idx="15">
                  <c:v>0.75</c:v>
                </c:pt>
                <c:pt idx="16">
                  <c:v>0.5</c:v>
                </c:pt>
                <c:pt idx="17">
                  <c:v>0.4</c:v>
                </c:pt>
                <c:pt idx="18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E-9A71-437B-9D40-67EFE8E854C0}"/>
            </c:ext>
          </c:extLst>
        </c:ser>
        <c:ser>
          <c:idx val="12"/>
          <c:order val="12"/>
          <c:tx>
            <c:strRef>
              <c:f>Curve!$A$14</c:f>
              <c:strCache>
                <c:ptCount val="1"/>
                <c:pt idx="0">
                  <c:v>13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Curve!$B$14:$T$14</c:f>
              <c:numCache>
                <c:formatCode>General</c:formatCode>
                <c:ptCount val="19"/>
                <c:pt idx="0">
                  <c:v>0</c:v>
                </c:pt>
                <c:pt idx="1">
                  <c:v>0.4</c:v>
                </c:pt>
                <c:pt idx="2">
                  <c:v>0.6</c:v>
                </c:pt>
                <c:pt idx="3">
                  <c:v>0.9</c:v>
                </c:pt>
                <c:pt idx="4">
                  <c:v>0.6</c:v>
                </c:pt>
                <c:pt idx="5">
                  <c:v>0.4</c:v>
                </c:pt>
                <c:pt idx="6">
                  <c:v>-0.1</c:v>
                </c:pt>
                <c:pt idx="7">
                  <c:v>-0.5</c:v>
                </c:pt>
                <c:pt idx="8">
                  <c:v>-0.5</c:v>
                </c:pt>
                <c:pt idx="9">
                  <c:v>0</c:v>
                </c:pt>
                <c:pt idx="10">
                  <c:v>0.2</c:v>
                </c:pt>
                <c:pt idx="11">
                  <c:v>0.3</c:v>
                </c:pt>
                <c:pt idx="12">
                  <c:v>0.6</c:v>
                </c:pt>
                <c:pt idx="13">
                  <c:v>0.5</c:v>
                </c:pt>
                <c:pt idx="14">
                  <c:v>0.4</c:v>
                </c:pt>
                <c:pt idx="15">
                  <c:v>0</c:v>
                </c:pt>
                <c:pt idx="16">
                  <c:v>-0.2</c:v>
                </c:pt>
                <c:pt idx="17">
                  <c:v>0</c:v>
                </c:pt>
                <c:pt idx="18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0-9A71-437B-9D40-67EFE8E854C0}"/>
            </c:ext>
          </c:extLst>
        </c:ser>
        <c:ser>
          <c:idx val="13"/>
          <c:order val="13"/>
          <c:tx>
            <c:strRef>
              <c:f>Curve!$A$15</c:f>
              <c:strCache>
                <c:ptCount val="1"/>
                <c:pt idx="0">
                  <c:v>14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Curve!$B$15:$T$15</c:f>
              <c:numCache>
                <c:formatCode>General</c:formatCode>
                <c:ptCount val="19"/>
                <c:pt idx="0">
                  <c:v>0</c:v>
                </c:pt>
                <c:pt idx="1">
                  <c:v>-1.1000000000000001</c:v>
                </c:pt>
                <c:pt idx="2">
                  <c:v>-1.2</c:v>
                </c:pt>
                <c:pt idx="3">
                  <c:v>-1.2</c:v>
                </c:pt>
                <c:pt idx="4">
                  <c:v>-1.1000000000000001</c:v>
                </c:pt>
                <c:pt idx="5">
                  <c:v>-0.8</c:v>
                </c:pt>
                <c:pt idx="6">
                  <c:v>0</c:v>
                </c:pt>
                <c:pt idx="7">
                  <c:v>1.1000000000000001</c:v>
                </c:pt>
                <c:pt idx="8">
                  <c:v>1.3</c:v>
                </c:pt>
                <c:pt idx="9">
                  <c:v>1.75</c:v>
                </c:pt>
                <c:pt idx="10">
                  <c:v>1.9</c:v>
                </c:pt>
                <c:pt idx="11">
                  <c:v>2</c:v>
                </c:pt>
                <c:pt idx="12">
                  <c:v>1.8</c:v>
                </c:pt>
                <c:pt idx="13">
                  <c:v>1.5</c:v>
                </c:pt>
                <c:pt idx="14">
                  <c:v>1.3</c:v>
                </c:pt>
                <c:pt idx="15">
                  <c:v>0.5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2-9A71-437B-9D40-67EFE8E854C0}"/>
            </c:ext>
          </c:extLst>
        </c:ser>
        <c:ser>
          <c:idx val="14"/>
          <c:order val="14"/>
          <c:tx>
            <c:strRef>
              <c:f>Curve!$A$16</c:f>
              <c:strCache>
                <c:ptCount val="1"/>
                <c:pt idx="0">
                  <c:v>15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Curve!$B$16:$T$16</c:f>
              <c:numCache>
                <c:formatCode>General</c:formatCode>
                <c:ptCount val="19"/>
                <c:pt idx="0">
                  <c:v>3</c:v>
                </c:pt>
                <c:pt idx="1">
                  <c:v>2.8</c:v>
                </c:pt>
                <c:pt idx="2">
                  <c:v>2.6</c:v>
                </c:pt>
                <c:pt idx="3">
                  <c:v>2.4</c:v>
                </c:pt>
                <c:pt idx="4">
                  <c:v>2.4</c:v>
                </c:pt>
                <c:pt idx="5">
                  <c:v>2.5</c:v>
                </c:pt>
                <c:pt idx="6">
                  <c:v>2.9</c:v>
                </c:pt>
                <c:pt idx="7">
                  <c:v>2.4</c:v>
                </c:pt>
                <c:pt idx="8">
                  <c:v>2.5</c:v>
                </c:pt>
                <c:pt idx="9">
                  <c:v>3.4</c:v>
                </c:pt>
                <c:pt idx="10">
                  <c:v>2.8</c:v>
                </c:pt>
                <c:pt idx="11">
                  <c:v>2.4</c:v>
                </c:pt>
                <c:pt idx="12">
                  <c:v>2.6</c:v>
                </c:pt>
                <c:pt idx="13">
                  <c:v>3</c:v>
                </c:pt>
                <c:pt idx="14">
                  <c:v>2.5</c:v>
                </c:pt>
                <c:pt idx="15">
                  <c:v>2.4</c:v>
                </c:pt>
                <c:pt idx="16">
                  <c:v>2.4</c:v>
                </c:pt>
                <c:pt idx="17">
                  <c:v>2.4</c:v>
                </c:pt>
                <c:pt idx="18">
                  <c:v>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4-9A71-437B-9D40-67EFE8E854C0}"/>
            </c:ext>
          </c:extLst>
        </c:ser>
        <c:ser>
          <c:idx val="15"/>
          <c:order val="15"/>
          <c:tx>
            <c:strRef>
              <c:f>Curve!$A$17</c:f>
              <c:strCache>
                <c:ptCount val="1"/>
                <c:pt idx="0">
                  <c:v>16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Curve!$B$17:$T$17</c:f>
              <c:numCache>
                <c:formatCode>General</c:formatCode>
                <c:ptCount val="19"/>
                <c:pt idx="0">
                  <c:v>0</c:v>
                </c:pt>
                <c:pt idx="1">
                  <c:v>0.2</c:v>
                </c:pt>
                <c:pt idx="2">
                  <c:v>0.5</c:v>
                </c:pt>
                <c:pt idx="3">
                  <c:v>0.5</c:v>
                </c:pt>
                <c:pt idx="4">
                  <c:v>0</c:v>
                </c:pt>
                <c:pt idx="5">
                  <c:v>0.2</c:v>
                </c:pt>
                <c:pt idx="6">
                  <c:v>1</c:v>
                </c:pt>
                <c:pt idx="7">
                  <c:v>1.8</c:v>
                </c:pt>
                <c:pt idx="8">
                  <c:v>2</c:v>
                </c:pt>
                <c:pt idx="9">
                  <c:v>1.5</c:v>
                </c:pt>
                <c:pt idx="10">
                  <c:v>2.7</c:v>
                </c:pt>
                <c:pt idx="11">
                  <c:v>2.6</c:v>
                </c:pt>
                <c:pt idx="12">
                  <c:v>1.7</c:v>
                </c:pt>
                <c:pt idx="13">
                  <c:v>1.2</c:v>
                </c:pt>
                <c:pt idx="14">
                  <c:v>1.8</c:v>
                </c:pt>
                <c:pt idx="15">
                  <c:v>2.9</c:v>
                </c:pt>
                <c:pt idx="16">
                  <c:v>2.5</c:v>
                </c:pt>
                <c:pt idx="17">
                  <c:v>2</c:v>
                </c:pt>
                <c:pt idx="18">
                  <c:v>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6-9A71-437B-9D40-67EFE8E854C0}"/>
            </c:ext>
          </c:extLst>
        </c:ser>
        <c:ser>
          <c:idx val="16"/>
          <c:order val="16"/>
          <c:tx>
            <c:strRef>
              <c:f>Curve!$A$18</c:f>
              <c:strCache>
                <c:ptCount val="1"/>
                <c:pt idx="0">
                  <c:v>17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Curve!$B$18:$T$18</c:f>
              <c:numCache>
                <c:formatCode>General</c:formatCode>
                <c:ptCount val="19"/>
                <c:pt idx="0">
                  <c:v>1.75</c:v>
                </c:pt>
                <c:pt idx="1">
                  <c:v>1.8</c:v>
                </c:pt>
                <c:pt idx="2">
                  <c:v>1.9</c:v>
                </c:pt>
                <c:pt idx="3">
                  <c:v>1.85</c:v>
                </c:pt>
                <c:pt idx="4">
                  <c:v>1.85</c:v>
                </c:pt>
                <c:pt idx="5">
                  <c:v>1.9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1.95</c:v>
                </c:pt>
                <c:pt idx="13">
                  <c:v>1.95</c:v>
                </c:pt>
                <c:pt idx="14">
                  <c:v>1.9</c:v>
                </c:pt>
                <c:pt idx="15">
                  <c:v>1.85</c:v>
                </c:pt>
                <c:pt idx="16">
                  <c:v>1.85</c:v>
                </c:pt>
                <c:pt idx="17">
                  <c:v>1.8</c:v>
                </c:pt>
                <c:pt idx="18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8-9A71-437B-9D40-67EFE8E854C0}"/>
            </c:ext>
          </c:extLst>
        </c:ser>
        <c:ser>
          <c:idx val="17"/>
          <c:order val="17"/>
          <c:tx>
            <c:strRef>
              <c:f>Curve!$A$19</c:f>
              <c:strCache>
                <c:ptCount val="1"/>
                <c:pt idx="0">
                  <c:v>18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Curve!$B$19:$T$19</c:f>
              <c:numCache>
                <c:formatCode>General</c:formatCode>
                <c:ptCount val="19"/>
                <c:pt idx="0">
                  <c:v>0.6</c:v>
                </c:pt>
                <c:pt idx="1">
                  <c:v>0.6</c:v>
                </c:pt>
                <c:pt idx="2">
                  <c:v>0</c:v>
                </c:pt>
                <c:pt idx="3">
                  <c:v>-0.6</c:v>
                </c:pt>
                <c:pt idx="4">
                  <c:v>-0.6</c:v>
                </c:pt>
                <c:pt idx="5">
                  <c:v>-0.5</c:v>
                </c:pt>
                <c:pt idx="6">
                  <c:v>0.2</c:v>
                </c:pt>
                <c:pt idx="7">
                  <c:v>0.4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0.5</c:v>
                </c:pt>
                <c:pt idx="11">
                  <c:v>0.45</c:v>
                </c:pt>
                <c:pt idx="12">
                  <c:v>0.7</c:v>
                </c:pt>
                <c:pt idx="13">
                  <c:v>1.1000000000000001</c:v>
                </c:pt>
                <c:pt idx="14">
                  <c:v>1.4</c:v>
                </c:pt>
                <c:pt idx="15">
                  <c:v>1.6</c:v>
                </c:pt>
                <c:pt idx="16">
                  <c:v>1.4</c:v>
                </c:pt>
                <c:pt idx="17">
                  <c:v>1.1000000000000001</c:v>
                </c:pt>
                <c:pt idx="18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A-9A71-437B-9D40-67EFE8E854C0}"/>
            </c:ext>
          </c:extLst>
        </c:ser>
        <c:ser>
          <c:idx val="18"/>
          <c:order val="18"/>
          <c:tx>
            <c:strRef>
              <c:f>Curve!$A$20</c:f>
              <c:strCache>
                <c:ptCount val="1"/>
                <c:pt idx="0">
                  <c:v>19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Curve!$B$20:$T$20</c:f>
              <c:numCache>
                <c:formatCode>General</c:formatCode>
                <c:ptCount val="1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</c:v>
                </c:pt>
                <c:pt idx="4">
                  <c:v>1.9</c:v>
                </c:pt>
                <c:pt idx="5">
                  <c:v>-1</c:v>
                </c:pt>
                <c:pt idx="6">
                  <c:v>0.9</c:v>
                </c:pt>
                <c:pt idx="7">
                  <c:v>1.1000000000000001</c:v>
                </c:pt>
                <c:pt idx="8">
                  <c:v>1.3</c:v>
                </c:pt>
                <c:pt idx="9">
                  <c:v>1.3</c:v>
                </c:pt>
                <c:pt idx="10">
                  <c:v>1.3</c:v>
                </c:pt>
                <c:pt idx="11">
                  <c:v>1.3</c:v>
                </c:pt>
                <c:pt idx="12">
                  <c:v>2.4</c:v>
                </c:pt>
                <c:pt idx="13">
                  <c:v>-0.7</c:v>
                </c:pt>
                <c:pt idx="14">
                  <c:v>0.6</c:v>
                </c:pt>
                <c:pt idx="15">
                  <c:v>1.1000000000000001</c:v>
                </c:pt>
                <c:pt idx="16">
                  <c:v>1.3</c:v>
                </c:pt>
                <c:pt idx="17">
                  <c:v>1.3</c:v>
                </c:pt>
                <c:pt idx="18">
                  <c:v>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C-9A71-437B-9D40-67EFE8E854C0}"/>
            </c:ext>
          </c:extLst>
        </c:ser>
        <c:ser>
          <c:idx val="19"/>
          <c:order val="19"/>
          <c:tx>
            <c:strRef>
              <c:f>Curve!$A$21</c:f>
              <c:strCache>
                <c:ptCount val="1"/>
                <c:pt idx="0">
                  <c:v>20</c:v>
                </c:pt>
              </c:strCache>
            </c:strRef>
          </c:tx>
          <c:spPr>
            <a:ln w="6350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Curve!$B$21:$T$21</c:f>
              <c:numCache>
                <c:formatCode>General</c:formatCode>
                <c:ptCount val="19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1.35</c:v>
                </c:pt>
                <c:pt idx="4">
                  <c:v>1.4</c:v>
                </c:pt>
                <c:pt idx="5">
                  <c:v>1.55</c:v>
                </c:pt>
                <c:pt idx="6">
                  <c:v>1.7</c:v>
                </c:pt>
                <c:pt idx="7">
                  <c:v>1.95</c:v>
                </c:pt>
                <c:pt idx="8">
                  <c:v>2.1</c:v>
                </c:pt>
                <c:pt idx="9">
                  <c:v>2.2999999999999998</c:v>
                </c:pt>
                <c:pt idx="10">
                  <c:v>2.2999999999999998</c:v>
                </c:pt>
                <c:pt idx="11">
                  <c:v>2.2000000000000002</c:v>
                </c:pt>
                <c:pt idx="12">
                  <c:v>2</c:v>
                </c:pt>
                <c:pt idx="13">
                  <c:v>1.7</c:v>
                </c:pt>
                <c:pt idx="14">
                  <c:v>1.5</c:v>
                </c:pt>
                <c:pt idx="15">
                  <c:v>1.5</c:v>
                </c:pt>
                <c:pt idx="16">
                  <c:v>1.3</c:v>
                </c:pt>
                <c:pt idx="17">
                  <c:v>1.25</c:v>
                </c:pt>
                <c:pt idx="18">
                  <c:v>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E-9A71-437B-9D40-67EFE8E854C0}"/>
            </c:ext>
          </c:extLst>
        </c:ser>
        <c:ser>
          <c:idx val="20"/>
          <c:order val="20"/>
          <c:tx>
            <c:strRef>
              <c:f>Curve!$A$22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Curve!$B$22:$T$22</c:f>
              <c:numCache>
                <c:formatCode>General</c:formatCode>
                <c:ptCount val="1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0-9A71-437B-9D40-67EFE8E854C0}"/>
            </c:ext>
          </c:extLst>
        </c:ser>
        <c:ser>
          <c:idx val="21"/>
          <c:order val="21"/>
          <c:tx>
            <c:strRef>
              <c:f>Curve!$A$23</c:f>
              <c:strCache>
                <c:ptCount val="1"/>
                <c:pt idx="0">
                  <c:v>Median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Curve!$B$23:$T$23</c:f>
              <c:numCache>
                <c:formatCode>General</c:formatCode>
                <c:ptCount val="19"/>
                <c:pt idx="0">
                  <c:v>0</c:v>
                </c:pt>
                <c:pt idx="1">
                  <c:v>0.4</c:v>
                </c:pt>
                <c:pt idx="2">
                  <c:v>0.72499999999999998</c:v>
                </c:pt>
                <c:pt idx="3">
                  <c:v>1.1000000000000001</c:v>
                </c:pt>
                <c:pt idx="4">
                  <c:v>1.2</c:v>
                </c:pt>
                <c:pt idx="5">
                  <c:v>0.65</c:v>
                </c:pt>
                <c:pt idx="6">
                  <c:v>1.05</c:v>
                </c:pt>
                <c:pt idx="7">
                  <c:v>1.75</c:v>
                </c:pt>
                <c:pt idx="8">
                  <c:v>1.625</c:v>
                </c:pt>
                <c:pt idx="9">
                  <c:v>1.675</c:v>
                </c:pt>
                <c:pt idx="10">
                  <c:v>1.95</c:v>
                </c:pt>
                <c:pt idx="11">
                  <c:v>2</c:v>
                </c:pt>
                <c:pt idx="12">
                  <c:v>1.875</c:v>
                </c:pt>
                <c:pt idx="13">
                  <c:v>1.45</c:v>
                </c:pt>
                <c:pt idx="14">
                  <c:v>1.5</c:v>
                </c:pt>
                <c:pt idx="15">
                  <c:v>1.45</c:v>
                </c:pt>
                <c:pt idx="16">
                  <c:v>1.3</c:v>
                </c:pt>
                <c:pt idx="17">
                  <c:v>1.175</c:v>
                </c:pt>
                <c:pt idx="18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2-9A71-437B-9D40-67EFE8E854C0}"/>
            </c:ext>
          </c:extLst>
        </c:ser>
        <c:ser>
          <c:idx val="22"/>
          <c:order val="22"/>
          <c:tx>
            <c:strRef>
              <c:f>Curve!$A$24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Curve!$B$1:$T$1</c:f>
              <c:strCache>
                <c:ptCount val="19"/>
                <c:pt idx="0">
                  <c:v>T0</c:v>
                </c:pt>
                <c:pt idx="1">
                  <c:v>T0.33</c:v>
                </c:pt>
                <c:pt idx="2">
                  <c:v>T0.66</c:v>
                </c:pt>
                <c:pt idx="3">
                  <c:v>T1</c:v>
                </c:pt>
                <c:pt idx="4">
                  <c:v>T1.33</c:v>
                </c:pt>
                <c:pt idx="5">
                  <c:v>T1.66</c:v>
                </c:pt>
                <c:pt idx="6">
                  <c:v>T2</c:v>
                </c:pt>
                <c:pt idx="7">
                  <c:v>T2.33</c:v>
                </c:pt>
                <c:pt idx="8">
                  <c:v>T2.66</c:v>
                </c:pt>
                <c:pt idx="9">
                  <c:v>T3</c:v>
                </c:pt>
                <c:pt idx="10">
                  <c:v>T3.33</c:v>
                </c:pt>
                <c:pt idx="11">
                  <c:v>T3.66</c:v>
                </c:pt>
                <c:pt idx="12">
                  <c:v>T4</c:v>
                </c:pt>
                <c:pt idx="13">
                  <c:v>T4.33</c:v>
                </c:pt>
                <c:pt idx="14">
                  <c:v>T4.66</c:v>
                </c:pt>
                <c:pt idx="15">
                  <c:v>T5</c:v>
                </c:pt>
                <c:pt idx="16">
                  <c:v>T5.33</c:v>
                </c:pt>
                <c:pt idx="17">
                  <c:v>T5.66</c:v>
                </c:pt>
                <c:pt idx="18">
                  <c:v>T6</c:v>
                </c:pt>
              </c:strCache>
            </c:strRef>
          </c:xVal>
          <c:yVal>
            <c:numRef>
              <c:f>Curve!$B$24:$T$24</c:f>
              <c:numCache>
                <c:formatCode>General</c:formatCode>
                <c:ptCount val="19"/>
                <c:pt idx="0">
                  <c:v>0.57499999999999996</c:v>
                </c:pt>
                <c:pt idx="1">
                  <c:v>0.53749999999999998</c:v>
                </c:pt>
                <c:pt idx="2">
                  <c:v>0.64749999999999996</c:v>
                </c:pt>
                <c:pt idx="3">
                  <c:v>0.96250000000000002</c:v>
                </c:pt>
                <c:pt idx="4">
                  <c:v>1.0624999999999998</c:v>
                </c:pt>
                <c:pt idx="5">
                  <c:v>0.91999999999999993</c:v>
                </c:pt>
                <c:pt idx="6">
                  <c:v>1.2999999999999998</c:v>
                </c:pt>
                <c:pt idx="7">
                  <c:v>1.4975000000000001</c:v>
                </c:pt>
                <c:pt idx="8">
                  <c:v>1.6625000000000003</c:v>
                </c:pt>
                <c:pt idx="9">
                  <c:v>1.7399999999999998</c:v>
                </c:pt>
                <c:pt idx="10">
                  <c:v>1.8049999999999997</c:v>
                </c:pt>
                <c:pt idx="11">
                  <c:v>1.8150000000000006</c:v>
                </c:pt>
                <c:pt idx="12">
                  <c:v>1.8149999999999999</c:v>
                </c:pt>
                <c:pt idx="13">
                  <c:v>1.5375000000000001</c:v>
                </c:pt>
                <c:pt idx="14">
                  <c:v>1.5974999999999999</c:v>
                </c:pt>
                <c:pt idx="15">
                  <c:v>1.5024999999999999</c:v>
                </c:pt>
                <c:pt idx="16">
                  <c:v>1.3925000000000001</c:v>
                </c:pt>
                <c:pt idx="17">
                  <c:v>1.2625000000000002</c:v>
                </c:pt>
                <c:pt idx="18">
                  <c:v>0.91000000000000014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84-9A71-437B-9D40-67EFE8E85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584968"/>
        <c:axId val="1500603400"/>
      </c:scatterChart>
      <c:valAx>
        <c:axId val="1500584968"/>
        <c:scaling>
          <c:orientation val="minMax"/>
          <c:max val="19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603400"/>
        <c:crosses val="autoZero"/>
        <c:crossBetween val="midCat"/>
      </c:valAx>
      <c:valAx>
        <c:axId val="1500603400"/>
        <c:scaling>
          <c:orientation val="minMax"/>
          <c:max val="3.5"/>
          <c:min val="-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User Experience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584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22</xdr:col>
      <xdr:colOff>28575</xdr:colOff>
      <xdr:row>48</xdr:row>
      <xdr:rowOff>171450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4486BDD-17C9-0572-ED09-463C0E3F0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43E2-D225-49A9-B6A9-37285173323F}">
  <dimension ref="A1:V24"/>
  <sheetViews>
    <sheetView tabSelected="1" topLeftCell="I1" workbookViewId="0">
      <selection activeCell="V24" sqref="V24"/>
    </sheetView>
  </sheetViews>
  <sheetFormatPr defaultRowHeight="15"/>
  <cols>
    <col min="1" max="1" width="14" customWidth="1"/>
    <col min="22" max="22" width="59.5703125" customWidth="1"/>
  </cols>
  <sheetData>
    <row r="1" spans="1:22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V1" s="3" t="s">
        <v>20</v>
      </c>
    </row>
    <row r="2" spans="1:22">
      <c r="A2" s="3">
        <v>1</v>
      </c>
      <c r="B2">
        <v>-0.3</v>
      </c>
      <c r="C2">
        <v>-0.3</v>
      </c>
      <c r="D2">
        <v>0</v>
      </c>
      <c r="E2">
        <v>0.35</v>
      </c>
      <c r="F2">
        <v>0.5</v>
      </c>
      <c r="G2">
        <v>0.65</v>
      </c>
      <c r="H2">
        <v>0.75</v>
      </c>
      <c r="I2">
        <v>0.9</v>
      </c>
      <c r="J2">
        <v>1.3</v>
      </c>
      <c r="K2">
        <v>1.5</v>
      </c>
      <c r="L2">
        <v>1.6</v>
      </c>
      <c r="M2">
        <v>1.6</v>
      </c>
      <c r="N2">
        <v>1.3</v>
      </c>
      <c r="O2">
        <v>1</v>
      </c>
      <c r="P2">
        <v>0.8</v>
      </c>
      <c r="Q2">
        <v>0.65</v>
      </c>
      <c r="R2">
        <v>0.2</v>
      </c>
      <c r="S2">
        <v>0.1</v>
      </c>
      <c r="T2">
        <v>0</v>
      </c>
      <c r="V2" t="s">
        <v>21</v>
      </c>
    </row>
    <row r="3" spans="1:22">
      <c r="A3" s="3">
        <v>2</v>
      </c>
      <c r="B3">
        <v>-0.6</v>
      </c>
      <c r="C3">
        <v>-0.5</v>
      </c>
      <c r="D3">
        <v>-0.3</v>
      </c>
      <c r="E3">
        <v>0.2</v>
      </c>
      <c r="F3">
        <v>0.45</v>
      </c>
      <c r="G3">
        <v>0.65</v>
      </c>
      <c r="H3">
        <v>0.85</v>
      </c>
      <c r="I3">
        <v>1</v>
      </c>
      <c r="J3">
        <v>1.3</v>
      </c>
      <c r="K3">
        <v>1.6</v>
      </c>
      <c r="L3">
        <v>1.7</v>
      </c>
      <c r="M3">
        <v>1.5</v>
      </c>
      <c r="N3">
        <v>1.35</v>
      </c>
      <c r="O3">
        <v>0.95</v>
      </c>
      <c r="P3">
        <v>0.95</v>
      </c>
      <c r="Q3">
        <v>0.6</v>
      </c>
      <c r="R3">
        <v>0.5</v>
      </c>
      <c r="S3">
        <v>0.4</v>
      </c>
      <c r="T3">
        <v>0.3</v>
      </c>
      <c r="V3" t="s">
        <v>22</v>
      </c>
    </row>
    <row r="4" spans="1:22">
      <c r="A4" s="3">
        <v>3</v>
      </c>
      <c r="B4">
        <v>2.4</v>
      </c>
      <c r="C4">
        <v>2.4</v>
      </c>
      <c r="D4">
        <v>2.2000000000000002</v>
      </c>
      <c r="E4">
        <v>1.9</v>
      </c>
      <c r="F4">
        <v>1.75</v>
      </c>
      <c r="G4">
        <v>1.75</v>
      </c>
      <c r="H4">
        <v>2</v>
      </c>
      <c r="I4">
        <v>2.35</v>
      </c>
      <c r="J4">
        <v>2.7</v>
      </c>
      <c r="K4">
        <v>3.3</v>
      </c>
      <c r="L4">
        <v>3.4</v>
      </c>
      <c r="M4">
        <v>3.2</v>
      </c>
      <c r="N4">
        <v>3.1</v>
      </c>
      <c r="O4">
        <v>2.8</v>
      </c>
      <c r="P4">
        <v>2.6</v>
      </c>
      <c r="Q4">
        <v>2.5</v>
      </c>
      <c r="R4">
        <v>2.6</v>
      </c>
      <c r="S4">
        <v>2.8</v>
      </c>
      <c r="T4">
        <v>2.9</v>
      </c>
      <c r="V4" t="s">
        <v>23</v>
      </c>
    </row>
    <row r="5" spans="1:22">
      <c r="A5" s="3">
        <v>4</v>
      </c>
      <c r="B5">
        <v>3</v>
      </c>
      <c r="C5">
        <v>3</v>
      </c>
      <c r="D5">
        <v>3.1</v>
      </c>
      <c r="E5">
        <v>3</v>
      </c>
      <c r="F5">
        <v>3</v>
      </c>
      <c r="G5">
        <v>3</v>
      </c>
      <c r="H5">
        <v>3</v>
      </c>
      <c r="I5">
        <v>3</v>
      </c>
      <c r="J5">
        <v>2.9</v>
      </c>
      <c r="K5">
        <v>2.9</v>
      </c>
      <c r="L5">
        <v>2.8</v>
      </c>
      <c r="M5">
        <v>2.7</v>
      </c>
      <c r="N5">
        <v>2.4500000000000002</v>
      </c>
      <c r="O5">
        <v>2.2999999999999998</v>
      </c>
      <c r="P5">
        <v>2</v>
      </c>
      <c r="Q5">
        <v>1.4</v>
      </c>
      <c r="R5">
        <v>1.1000000000000001</v>
      </c>
      <c r="S5">
        <v>0.8</v>
      </c>
      <c r="T5">
        <v>0.5</v>
      </c>
      <c r="V5" t="s">
        <v>24</v>
      </c>
    </row>
    <row r="6" spans="1:22">
      <c r="A6" s="3">
        <v>5</v>
      </c>
      <c r="B6">
        <v>0</v>
      </c>
      <c r="C6">
        <v>0.25</v>
      </c>
      <c r="D6">
        <v>1.1000000000000001</v>
      </c>
      <c r="E6">
        <v>1.9</v>
      </c>
      <c r="F6">
        <v>1</v>
      </c>
      <c r="G6">
        <v>0</v>
      </c>
      <c r="H6">
        <v>1.1000000000000001</v>
      </c>
      <c r="I6">
        <v>1.8</v>
      </c>
      <c r="J6">
        <v>1</v>
      </c>
      <c r="K6">
        <v>0</v>
      </c>
      <c r="L6">
        <v>0</v>
      </c>
      <c r="M6">
        <v>1.75</v>
      </c>
      <c r="N6">
        <v>1.5</v>
      </c>
      <c r="O6">
        <v>0.6</v>
      </c>
      <c r="P6">
        <v>0.2</v>
      </c>
      <c r="Q6">
        <v>1.75</v>
      </c>
      <c r="R6">
        <v>1.6</v>
      </c>
      <c r="S6">
        <v>0.4</v>
      </c>
      <c r="T6">
        <v>0</v>
      </c>
      <c r="V6" t="s">
        <v>25</v>
      </c>
    </row>
    <row r="7" spans="1:22">
      <c r="A7" s="3">
        <v>6</v>
      </c>
      <c r="B7">
        <v>0</v>
      </c>
      <c r="C7">
        <v>-0.6</v>
      </c>
      <c r="D7">
        <v>-0.7</v>
      </c>
      <c r="E7">
        <v>-0.7</v>
      </c>
      <c r="F7">
        <v>-0.6</v>
      </c>
      <c r="G7">
        <v>-0.5</v>
      </c>
      <c r="H7">
        <v>0</v>
      </c>
      <c r="I7">
        <v>0.3</v>
      </c>
      <c r="J7">
        <v>0.6</v>
      </c>
      <c r="K7">
        <v>0.8</v>
      </c>
      <c r="L7">
        <v>0.95</v>
      </c>
      <c r="M7">
        <v>1.1000000000000001</v>
      </c>
      <c r="N7">
        <v>1.1000000000000001</v>
      </c>
      <c r="O7">
        <v>1.1000000000000001</v>
      </c>
      <c r="P7">
        <v>1.2</v>
      </c>
      <c r="Q7">
        <v>1.1000000000000001</v>
      </c>
      <c r="R7">
        <v>1.1000000000000001</v>
      </c>
      <c r="S7">
        <v>1.1000000000000001</v>
      </c>
      <c r="T7">
        <v>1.1000000000000001</v>
      </c>
      <c r="V7" t="s">
        <v>26</v>
      </c>
    </row>
    <row r="8" spans="1:22">
      <c r="A8" s="3">
        <v>7</v>
      </c>
      <c r="B8">
        <v>0</v>
      </c>
      <c r="C8">
        <v>-1.8</v>
      </c>
      <c r="D8">
        <v>-2.5</v>
      </c>
      <c r="E8">
        <v>0</v>
      </c>
      <c r="F8">
        <v>-0.75</v>
      </c>
      <c r="G8">
        <v>-0.5</v>
      </c>
      <c r="H8">
        <v>0</v>
      </c>
      <c r="I8">
        <v>0</v>
      </c>
      <c r="J8">
        <v>0.7</v>
      </c>
      <c r="K8">
        <v>1</v>
      </c>
      <c r="L8">
        <v>0.8</v>
      </c>
      <c r="M8">
        <v>0</v>
      </c>
      <c r="N8">
        <v>0.2</v>
      </c>
      <c r="O8">
        <v>0.3</v>
      </c>
      <c r="P8">
        <v>0.4</v>
      </c>
      <c r="Q8">
        <v>0</v>
      </c>
      <c r="R8">
        <v>0</v>
      </c>
      <c r="S8">
        <v>0</v>
      </c>
      <c r="T8">
        <v>0</v>
      </c>
      <c r="V8" t="s">
        <v>27</v>
      </c>
    </row>
    <row r="9" spans="1:22">
      <c r="A9" s="3">
        <v>8</v>
      </c>
      <c r="B9">
        <v>0</v>
      </c>
      <c r="C9">
        <v>0.5</v>
      </c>
      <c r="D9">
        <v>0.85</v>
      </c>
      <c r="E9">
        <v>1.3</v>
      </c>
      <c r="F9">
        <v>1.75</v>
      </c>
      <c r="G9">
        <v>1.9</v>
      </c>
      <c r="H9">
        <v>2.2999999999999998</v>
      </c>
      <c r="I9">
        <v>2.35</v>
      </c>
      <c r="J9">
        <v>2.4</v>
      </c>
      <c r="K9">
        <v>2.4500000000000002</v>
      </c>
      <c r="L9">
        <v>2.5</v>
      </c>
      <c r="M9">
        <v>2.5</v>
      </c>
      <c r="N9">
        <v>2.6</v>
      </c>
      <c r="O9">
        <v>2.6</v>
      </c>
      <c r="P9">
        <v>2.6</v>
      </c>
      <c r="Q9">
        <v>2.6</v>
      </c>
      <c r="R9">
        <v>2.6</v>
      </c>
      <c r="S9">
        <v>2.5</v>
      </c>
      <c r="T9">
        <v>2.4</v>
      </c>
      <c r="V9" t="s">
        <v>28</v>
      </c>
    </row>
    <row r="10" spans="1:22">
      <c r="A10" s="3">
        <v>9</v>
      </c>
      <c r="B10">
        <v>-0.75</v>
      </c>
      <c r="C10">
        <v>-0.7</v>
      </c>
      <c r="D10">
        <v>-0.65</v>
      </c>
      <c r="E10">
        <v>-0.4</v>
      </c>
      <c r="F10">
        <v>0</v>
      </c>
      <c r="G10">
        <v>0.3</v>
      </c>
      <c r="H10">
        <v>0.8</v>
      </c>
      <c r="I10">
        <v>1.2</v>
      </c>
      <c r="J10">
        <v>1.45</v>
      </c>
      <c r="K10">
        <v>2.1</v>
      </c>
      <c r="L10">
        <v>2.4</v>
      </c>
      <c r="M10">
        <v>2.5</v>
      </c>
      <c r="N10">
        <v>2.8</v>
      </c>
      <c r="O10">
        <v>2.85</v>
      </c>
      <c r="P10">
        <v>2.9</v>
      </c>
      <c r="Q10">
        <v>2.9</v>
      </c>
      <c r="R10">
        <v>2.9</v>
      </c>
      <c r="S10">
        <v>2.9</v>
      </c>
      <c r="T10">
        <v>2.8</v>
      </c>
      <c r="V10" t="s">
        <v>29</v>
      </c>
    </row>
    <row r="11" spans="1:22">
      <c r="A11" s="3">
        <v>10</v>
      </c>
      <c r="B11">
        <v>0</v>
      </c>
      <c r="C11">
        <v>0.75</v>
      </c>
      <c r="D11">
        <v>1.35</v>
      </c>
      <c r="E11">
        <v>2.2000000000000002</v>
      </c>
      <c r="F11">
        <v>2.5</v>
      </c>
      <c r="G11">
        <v>2.65</v>
      </c>
      <c r="H11">
        <v>2.7</v>
      </c>
      <c r="I11">
        <v>2.7</v>
      </c>
      <c r="J11">
        <v>2.7</v>
      </c>
      <c r="K11">
        <v>2.7</v>
      </c>
      <c r="L11">
        <v>2.75</v>
      </c>
      <c r="M11">
        <v>2.8</v>
      </c>
      <c r="N11">
        <v>2.8</v>
      </c>
      <c r="O11">
        <v>2.8</v>
      </c>
      <c r="P11">
        <v>2.8</v>
      </c>
      <c r="Q11">
        <v>2.7</v>
      </c>
      <c r="R11">
        <v>2.7</v>
      </c>
      <c r="S11">
        <v>2.7</v>
      </c>
      <c r="T11">
        <v>-3.1</v>
      </c>
      <c r="V11" t="s">
        <v>30</v>
      </c>
    </row>
    <row r="12" spans="1:22">
      <c r="A12" s="3">
        <v>11</v>
      </c>
      <c r="B12">
        <v>1.3</v>
      </c>
      <c r="C12">
        <v>1.2</v>
      </c>
      <c r="D12">
        <v>1.3</v>
      </c>
      <c r="E12">
        <v>2</v>
      </c>
      <c r="F12">
        <v>3</v>
      </c>
      <c r="G12">
        <v>1.45</v>
      </c>
      <c r="H12">
        <v>1.3</v>
      </c>
      <c r="I12">
        <v>1.7</v>
      </c>
      <c r="J12">
        <v>2.6</v>
      </c>
      <c r="K12">
        <v>1.3</v>
      </c>
      <c r="L12">
        <v>1.3</v>
      </c>
      <c r="M12">
        <v>1.3</v>
      </c>
      <c r="N12">
        <v>1.4</v>
      </c>
      <c r="O12">
        <v>1.4</v>
      </c>
      <c r="P12">
        <v>2.6</v>
      </c>
      <c r="Q12">
        <v>1.25</v>
      </c>
      <c r="R12">
        <v>1.3</v>
      </c>
      <c r="S12">
        <v>1.3</v>
      </c>
      <c r="T12">
        <v>1.1000000000000001</v>
      </c>
      <c r="V12" t="s">
        <v>31</v>
      </c>
    </row>
    <row r="13" spans="1:22">
      <c r="A13" s="3">
        <v>12</v>
      </c>
      <c r="B13">
        <v>0</v>
      </c>
      <c r="C13">
        <v>0.4</v>
      </c>
      <c r="D13">
        <v>1</v>
      </c>
      <c r="E13">
        <v>1.6</v>
      </c>
      <c r="F13">
        <v>2.2000000000000002</v>
      </c>
      <c r="G13">
        <v>2.8</v>
      </c>
      <c r="H13">
        <v>2.8</v>
      </c>
      <c r="I13">
        <v>2.6</v>
      </c>
      <c r="J13">
        <v>2.6</v>
      </c>
      <c r="K13">
        <v>2.35</v>
      </c>
      <c r="L13">
        <v>2.2000000000000002</v>
      </c>
      <c r="M13">
        <v>2.1</v>
      </c>
      <c r="N13">
        <v>1.95</v>
      </c>
      <c r="O13">
        <v>1.8</v>
      </c>
      <c r="P13">
        <v>1.5</v>
      </c>
      <c r="Q13">
        <v>0.75</v>
      </c>
      <c r="R13">
        <v>0.5</v>
      </c>
      <c r="S13">
        <v>0.4</v>
      </c>
      <c r="T13">
        <v>0.3</v>
      </c>
      <c r="V13" t="s">
        <v>32</v>
      </c>
    </row>
    <row r="14" spans="1:22">
      <c r="A14" s="3">
        <v>13</v>
      </c>
      <c r="B14">
        <v>0</v>
      </c>
      <c r="C14">
        <v>0.4</v>
      </c>
      <c r="D14">
        <v>0.6</v>
      </c>
      <c r="E14">
        <v>0.9</v>
      </c>
      <c r="F14">
        <v>0.6</v>
      </c>
      <c r="G14">
        <v>0.4</v>
      </c>
      <c r="H14">
        <v>-0.1</v>
      </c>
      <c r="I14">
        <v>-0.5</v>
      </c>
      <c r="J14">
        <v>-0.5</v>
      </c>
      <c r="K14">
        <v>0</v>
      </c>
      <c r="L14">
        <v>0.2</v>
      </c>
      <c r="M14">
        <v>0.3</v>
      </c>
      <c r="N14">
        <v>0.6</v>
      </c>
      <c r="O14">
        <v>0.5</v>
      </c>
      <c r="P14">
        <v>0.4</v>
      </c>
      <c r="Q14">
        <v>0</v>
      </c>
      <c r="R14">
        <v>-0.2</v>
      </c>
      <c r="S14">
        <v>0</v>
      </c>
      <c r="T14">
        <v>0.3</v>
      </c>
      <c r="V14" t="s">
        <v>33</v>
      </c>
    </row>
    <row r="15" spans="1:22">
      <c r="A15">
        <v>14</v>
      </c>
      <c r="B15">
        <v>0</v>
      </c>
      <c r="C15">
        <v>-1.1000000000000001</v>
      </c>
      <c r="D15">
        <v>-1.2</v>
      </c>
      <c r="E15">
        <v>-1.2</v>
      </c>
      <c r="F15">
        <v>-1.1000000000000001</v>
      </c>
      <c r="G15">
        <v>-0.8</v>
      </c>
      <c r="H15">
        <v>0</v>
      </c>
      <c r="I15">
        <v>1.1000000000000001</v>
      </c>
      <c r="J15">
        <v>1.3</v>
      </c>
      <c r="K15">
        <v>1.75</v>
      </c>
      <c r="L15">
        <v>1.9</v>
      </c>
      <c r="M15">
        <v>2</v>
      </c>
      <c r="N15">
        <v>1.8</v>
      </c>
      <c r="O15">
        <v>1.5</v>
      </c>
      <c r="P15">
        <v>1.3</v>
      </c>
      <c r="Q15">
        <v>0.5</v>
      </c>
      <c r="R15">
        <v>0.2</v>
      </c>
      <c r="S15">
        <v>0</v>
      </c>
      <c r="T15">
        <v>0</v>
      </c>
      <c r="V15" t="s">
        <v>34</v>
      </c>
    </row>
    <row r="16" spans="1:22">
      <c r="A16">
        <v>15</v>
      </c>
      <c r="B16">
        <v>3</v>
      </c>
      <c r="C16">
        <v>2.8</v>
      </c>
      <c r="D16">
        <v>2.6</v>
      </c>
      <c r="E16">
        <v>2.4</v>
      </c>
      <c r="F16">
        <v>2.4</v>
      </c>
      <c r="G16">
        <v>2.5</v>
      </c>
      <c r="H16">
        <v>2.9</v>
      </c>
      <c r="I16">
        <v>2.4</v>
      </c>
      <c r="J16">
        <v>2.5</v>
      </c>
      <c r="K16">
        <v>3.4</v>
      </c>
      <c r="L16">
        <v>2.8</v>
      </c>
      <c r="M16">
        <v>2.4</v>
      </c>
      <c r="N16">
        <v>2.6</v>
      </c>
      <c r="O16">
        <v>3</v>
      </c>
      <c r="P16">
        <v>2.5</v>
      </c>
      <c r="Q16">
        <v>2.4</v>
      </c>
      <c r="R16">
        <v>2.4</v>
      </c>
      <c r="S16">
        <v>2.4</v>
      </c>
      <c r="T16">
        <v>2.4</v>
      </c>
      <c r="V16" t="s">
        <v>35</v>
      </c>
    </row>
    <row r="17" spans="1:22">
      <c r="A17">
        <v>16</v>
      </c>
      <c r="B17">
        <v>0</v>
      </c>
      <c r="C17">
        <v>0.2</v>
      </c>
      <c r="D17">
        <v>0.5</v>
      </c>
      <c r="E17">
        <v>0.5</v>
      </c>
      <c r="F17">
        <v>0</v>
      </c>
      <c r="G17">
        <v>0.2</v>
      </c>
      <c r="H17">
        <v>1</v>
      </c>
      <c r="I17">
        <v>1.8</v>
      </c>
      <c r="J17">
        <v>2</v>
      </c>
      <c r="K17">
        <v>1.5</v>
      </c>
      <c r="L17">
        <v>2.7</v>
      </c>
      <c r="M17">
        <v>2.6</v>
      </c>
      <c r="N17">
        <v>1.7</v>
      </c>
      <c r="O17">
        <v>1.2</v>
      </c>
      <c r="P17">
        <v>1.8</v>
      </c>
      <c r="Q17">
        <v>2.9</v>
      </c>
      <c r="R17">
        <v>2.5</v>
      </c>
      <c r="S17">
        <v>2</v>
      </c>
      <c r="T17">
        <v>2.4</v>
      </c>
      <c r="V17" t="s">
        <v>35</v>
      </c>
    </row>
    <row r="18" spans="1:22">
      <c r="A18">
        <v>17</v>
      </c>
      <c r="B18">
        <v>1.75</v>
      </c>
      <c r="C18">
        <v>1.8</v>
      </c>
      <c r="D18">
        <v>1.9</v>
      </c>
      <c r="E18">
        <v>1.85</v>
      </c>
      <c r="F18">
        <v>1.85</v>
      </c>
      <c r="G18">
        <v>1.9</v>
      </c>
      <c r="H18">
        <v>1.8</v>
      </c>
      <c r="I18">
        <v>1.8</v>
      </c>
      <c r="J18">
        <v>1.8</v>
      </c>
      <c r="K18">
        <v>2</v>
      </c>
      <c r="L18">
        <v>2</v>
      </c>
      <c r="M18">
        <v>2</v>
      </c>
      <c r="N18">
        <v>1.95</v>
      </c>
      <c r="O18">
        <v>1.95</v>
      </c>
      <c r="P18">
        <v>1.9</v>
      </c>
      <c r="Q18">
        <v>1.85</v>
      </c>
      <c r="R18">
        <v>1.85</v>
      </c>
      <c r="S18">
        <v>1.8</v>
      </c>
      <c r="T18">
        <v>1.8</v>
      </c>
    </row>
    <row r="19" spans="1:22">
      <c r="A19">
        <v>18</v>
      </c>
      <c r="B19">
        <v>0.6</v>
      </c>
      <c r="C19">
        <v>0.6</v>
      </c>
      <c r="D19">
        <v>0</v>
      </c>
      <c r="E19">
        <v>-0.6</v>
      </c>
      <c r="F19">
        <v>-0.6</v>
      </c>
      <c r="G19">
        <v>-0.5</v>
      </c>
      <c r="H19">
        <v>0.2</v>
      </c>
      <c r="I19">
        <v>0.4</v>
      </c>
      <c r="J19">
        <v>0.5</v>
      </c>
      <c r="K19">
        <v>0.55000000000000004</v>
      </c>
      <c r="L19">
        <v>0.5</v>
      </c>
      <c r="M19">
        <v>0.45</v>
      </c>
      <c r="N19">
        <v>0.7</v>
      </c>
      <c r="O19">
        <v>1.1000000000000001</v>
      </c>
      <c r="P19">
        <v>1.4</v>
      </c>
      <c r="Q19">
        <v>1.6</v>
      </c>
      <c r="R19">
        <v>1.4</v>
      </c>
      <c r="S19">
        <v>1.1000000000000001</v>
      </c>
      <c r="T19">
        <v>0.4</v>
      </c>
      <c r="V19" t="s">
        <v>36</v>
      </c>
    </row>
    <row r="20" spans="1:22">
      <c r="A20">
        <v>19</v>
      </c>
      <c r="B20">
        <v>0</v>
      </c>
      <c r="C20">
        <v>0.25</v>
      </c>
      <c r="D20">
        <v>0.5</v>
      </c>
      <c r="E20">
        <v>0.7</v>
      </c>
      <c r="F20">
        <v>1.9</v>
      </c>
      <c r="G20">
        <v>-1</v>
      </c>
      <c r="H20">
        <v>0.9</v>
      </c>
      <c r="I20">
        <v>1.1000000000000001</v>
      </c>
      <c r="J20">
        <v>1.3</v>
      </c>
      <c r="K20">
        <v>1.3</v>
      </c>
      <c r="L20">
        <v>1.3</v>
      </c>
      <c r="M20">
        <v>1.3</v>
      </c>
      <c r="N20">
        <v>2.4</v>
      </c>
      <c r="O20">
        <v>-0.7</v>
      </c>
      <c r="P20">
        <v>0.6</v>
      </c>
      <c r="Q20">
        <v>1.1000000000000001</v>
      </c>
      <c r="R20">
        <v>1.3</v>
      </c>
      <c r="S20">
        <v>1.3</v>
      </c>
      <c r="T20">
        <v>1.4</v>
      </c>
      <c r="V20" t="s">
        <v>37</v>
      </c>
    </row>
    <row r="21" spans="1:22">
      <c r="A21">
        <v>20</v>
      </c>
      <c r="B21">
        <v>1.1000000000000001</v>
      </c>
      <c r="C21">
        <v>1.2</v>
      </c>
      <c r="D21">
        <v>1.3</v>
      </c>
      <c r="E21">
        <v>1.35</v>
      </c>
      <c r="F21">
        <v>1.4</v>
      </c>
      <c r="G21">
        <v>1.55</v>
      </c>
      <c r="H21">
        <v>1.7</v>
      </c>
      <c r="I21">
        <v>1.95</v>
      </c>
      <c r="J21">
        <v>2.1</v>
      </c>
      <c r="K21">
        <v>2.2999999999999998</v>
      </c>
      <c r="L21">
        <v>2.2999999999999998</v>
      </c>
      <c r="M21">
        <v>2.2000000000000002</v>
      </c>
      <c r="N21">
        <v>2</v>
      </c>
      <c r="O21">
        <v>1.7</v>
      </c>
      <c r="P21">
        <v>1.5</v>
      </c>
      <c r="Q21">
        <v>1.5</v>
      </c>
      <c r="R21">
        <v>1.3</v>
      </c>
      <c r="S21">
        <v>1.25</v>
      </c>
      <c r="T21">
        <v>1.2</v>
      </c>
      <c r="V21" t="s">
        <v>38</v>
      </c>
    </row>
    <row r="22" spans="1:22">
      <c r="A22" s="3"/>
    </row>
    <row r="23" spans="1:22">
      <c r="A23" s="1" t="s">
        <v>39</v>
      </c>
      <c r="B23">
        <f>MEDIAN(B2:B21)</f>
        <v>0</v>
      </c>
      <c r="C23">
        <f>MEDIAN(C2:C21)</f>
        <v>0.4</v>
      </c>
      <c r="D23">
        <f t="shared" ref="D23:T23" si="0">MEDIAN(D2:D21)</f>
        <v>0.72499999999999998</v>
      </c>
      <c r="E23">
        <f t="shared" si="0"/>
        <v>1.1000000000000001</v>
      </c>
      <c r="F23">
        <f t="shared" ref="F23" si="1">MEDIAN(F2:F21)</f>
        <v>1.2</v>
      </c>
      <c r="G23">
        <f t="shared" si="0"/>
        <v>0.65</v>
      </c>
      <c r="H23">
        <f t="shared" si="0"/>
        <v>1.05</v>
      </c>
      <c r="I23">
        <f t="shared" ref="I23" si="2">MEDIAN(I2:I21)</f>
        <v>1.75</v>
      </c>
      <c r="J23">
        <f t="shared" si="0"/>
        <v>1.625</v>
      </c>
      <c r="K23">
        <f t="shared" si="0"/>
        <v>1.675</v>
      </c>
      <c r="L23">
        <f t="shared" ref="L23" si="3">MEDIAN(L2:L21)</f>
        <v>1.95</v>
      </c>
      <c r="M23">
        <f t="shared" si="0"/>
        <v>2</v>
      </c>
      <c r="N23">
        <f t="shared" si="0"/>
        <v>1.875</v>
      </c>
      <c r="O23">
        <f t="shared" ref="O23" si="4">MEDIAN(O2:O21)</f>
        <v>1.45</v>
      </c>
      <c r="P23">
        <f t="shared" si="0"/>
        <v>1.5</v>
      </c>
      <c r="Q23">
        <f t="shared" si="0"/>
        <v>1.45</v>
      </c>
      <c r="R23">
        <f t="shared" ref="R23" si="5">MEDIAN(R2:R21)</f>
        <v>1.3</v>
      </c>
      <c r="S23">
        <f t="shared" si="0"/>
        <v>1.175</v>
      </c>
      <c r="T23">
        <f t="shared" si="0"/>
        <v>0.8</v>
      </c>
    </row>
    <row r="24" spans="1:22">
      <c r="A24" s="2" t="s">
        <v>40</v>
      </c>
      <c r="B24">
        <f>AVERAGE(B2:B21)</f>
        <v>0.57499999999999996</v>
      </c>
      <c r="C24">
        <f>AVERAGE(C2:C21)</f>
        <v>0.53749999999999998</v>
      </c>
      <c r="D24">
        <f t="shared" ref="D24:T24" si="6">AVERAGE(D2:D21)</f>
        <v>0.64749999999999996</v>
      </c>
      <c r="E24">
        <f t="shared" si="6"/>
        <v>0.96250000000000002</v>
      </c>
      <c r="F24">
        <f t="shared" ref="F24" si="7">AVERAGE(F2:F21)</f>
        <v>1.0624999999999998</v>
      </c>
      <c r="G24">
        <f t="shared" si="6"/>
        <v>0.91999999999999993</v>
      </c>
      <c r="H24">
        <f t="shared" si="6"/>
        <v>1.2999999999999998</v>
      </c>
      <c r="I24">
        <f t="shared" ref="I24" si="8">AVERAGE(I2:I21)</f>
        <v>1.4975000000000001</v>
      </c>
      <c r="J24">
        <f t="shared" si="6"/>
        <v>1.6625000000000003</v>
      </c>
      <c r="K24">
        <f t="shared" si="6"/>
        <v>1.7399999999999998</v>
      </c>
      <c r="L24">
        <f t="shared" ref="L24" si="9">AVERAGE(L2:L21)</f>
        <v>1.8049999999999997</v>
      </c>
      <c r="M24">
        <f t="shared" si="6"/>
        <v>1.8150000000000006</v>
      </c>
      <c r="N24">
        <f t="shared" si="6"/>
        <v>1.8149999999999999</v>
      </c>
      <c r="O24">
        <f t="shared" ref="O24" si="10">AVERAGE(O2:O21)</f>
        <v>1.5375000000000001</v>
      </c>
      <c r="P24">
        <f t="shared" si="6"/>
        <v>1.5974999999999999</v>
      </c>
      <c r="Q24">
        <f t="shared" si="6"/>
        <v>1.5024999999999999</v>
      </c>
      <c r="R24">
        <f t="shared" ref="R24" si="11">AVERAGE(R2:R21)</f>
        <v>1.3925000000000001</v>
      </c>
      <c r="S24">
        <f t="shared" si="6"/>
        <v>1.2625000000000002</v>
      </c>
      <c r="T24">
        <f t="shared" si="6"/>
        <v>0.91000000000000014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2026-03-03T13:41:31Z</dcterms:created>
  <dcterms:modified xsi:type="dcterms:W3CDTF">2026-09-18T13:09:31Z</dcterms:modified>
  <cp:category/>
  <cp:contentStatus/>
</cp:coreProperties>
</file>